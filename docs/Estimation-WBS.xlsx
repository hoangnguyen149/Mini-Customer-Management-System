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Estimation" sheetId="1" state="visible" r:id="rId3"/>
  </sheets>
  <definedNames>
    <definedName function="false" hidden="false" localSheetId="0" name="_xlnm.Print_Area" vbProcedure="false">'WBS Estimation'!$A$1:$E$55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<sst xmlns="http://schemas.openxmlformats.org/spreadsheetml/2006/main" count="79" uniqueCount="79">
  <si>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BẢNG ƯỚC LƯỢNG THỜI GIAN (WORK BREAKDOWN STRUCTURE)</t>
  </si>
  <si>
    <t xml:space="preserve">Mini Customer Management System — Phase 1 Estimation</t>
  </si>
  <si>
    <t xml:space="preserve">Đơn vị: giờ công (h)  ·  1 ngày làm việc = 8 giờ  ·  Ngày lập: 15/09/2026</t>
  </si>
  <si>
    <t xml:space="preserve">STT</t>
  </si>
  <si>
    <t xml:space="preserve">Hạng mục</t>
  </si>
  <si>
    <t xml:space="preserve">Công việc chi tiết</t>
  </si>
  <si>
    <t xml:space="preserve">Số giờ (h)</t>
  </si>
  <si>
    <t xml:space="preserve">Ghi chú</t>
  </si>
  <si>
    <t xml:space="preserve">1. Khởi tạo &amp; Kiến trúc</t>
  </si>
  <si>
    <t xml:space="preserve">Tạo solution, cấu trúc project (Domain/Application/Infrastructure/WebApi/Blazor/Contracts)</t>
  </si>
  <si>
    <t xml:space="preserve">Clean/Layered Architecture</t>
  </si>
  <si>
    <t xml:space="preserve">Cấu hình Git repo, GitFlow branches (main/develop/feature/*), .gitignore</t>
  </si>
  <si>
    <t xml:space="preserve">Cài đặt &amp; cấu hình NuGet packages cơ bản (EF Core, FluentValidation, JWT Bearer, MudBlazor)</t>
  </si>
  <si>
    <t xml:space="preserve">Thiết lập README, quy ước Conventional Commits</t>
  </si>
  <si>
    <t xml:space="preserve">Tổng 1. Khởi tạo &amp; Kiến trúc</t>
  </si>
  <si>
    <t xml:space="preserve">2. Thiết kế &amp; triển khai Database (EF Core)</t>
  </si>
  <si>
    <t xml:space="preserve">Thiết kế Entity Customer/User (Domain layer)</t>
  </si>
  <si>
    <t xml:space="preserve">Private setter + factory method</t>
  </si>
  <si>
    <t xml:space="preserve">Cấu hình Fluent API (unique index, clustered index, RowVersion)</t>
  </si>
  <si>
    <t xml:space="preserve">IEntityTypeConfiguration</t>
  </si>
  <si>
    <t xml:space="preserve">Viết SaveChangesInterceptor (soft delete + audit tự động)</t>
  </si>
  <si>
    <t xml:space="preserve">Tạo &amp; kiểm tra EF Core Migration (InitialCreate)</t>
  </si>
  <si>
    <t xml:space="preserve">dotnet ef migrations add</t>
  </si>
  <si>
    <t xml:space="preserve">Viết AdminUserSeeder (seed tài khoản admin qua IHostedService)</t>
  </si>
  <si>
    <t xml:space="preserve">Không hard-code trong migration</t>
  </si>
  <si>
    <t xml:space="preserve">Tổng 2. Thiết kế &amp; triển khai Database (EF Core)</t>
  </si>
  <si>
    <t xml:space="preserve">3. Backend Core (hạ tầng dùng chung)</t>
  </si>
  <si>
    <t xml:space="preserve">Global Exception Handler (IExceptionHandler + RFC 7807 ProblemDetails)</t>
  </si>
  <si>
    <t xml:space="preserve">Rate Limiting cho /api/auth/login (Token Bucket)</t>
  </si>
  <si>
    <t xml:space="preserve">Chống brute-force</t>
  </si>
  <si>
    <t xml:space="preserve">Output Caching (in-memory, optional Redis) + invalidate theo tag khi ghi</t>
  </si>
  <si>
    <t xml:space="preserve">Cấu hình CORS, Swagger/OpenAPI (Bearer security scheme)</t>
  </si>
  <si>
    <t xml:space="preserve">Tổng 3. Backend Core (hạ tầng dùng chung)</t>
  </si>
  <si>
    <t xml:space="preserve">4. Xác thực &amp; phân quyền (JWT)</t>
  </si>
  <si>
    <t xml:space="preserve">PasswordHasher wrapper (PBKDF2-HMAC-SHA256)</t>
  </si>
  <si>
    <t xml:space="preserve">JwtTokenGenerator (issue token, claims, kiểm tra secret length)</t>
  </si>
  <si>
    <t xml:space="preserve">AuthController + endpoint Login</t>
  </si>
  <si>
    <t xml:space="preserve">Pipeline [Authorize] phía API + CustomAuthStateProvider phía Blazor</t>
  </si>
  <si>
    <t xml:space="preserve">Tổng 4. Xác thực &amp; phân quyền (JWT)</t>
  </si>
  <si>
    <t xml:space="preserve">5. API CRUD nghiệp vụ khách hàng</t>
  </si>
  <si>
    <t xml:space="preserve">Thiết kế DTO (CreateRequest/UpdateRequest/ListItemDto/DetailDto)</t>
  </si>
  <si>
    <t xml:space="preserve">Tách khỏi Entity</t>
  </si>
  <si>
    <t xml:space="preserve">FluentValidation cho Create/Update (email, SĐT, ngày sinh)</t>
  </si>
  <si>
    <t xml:space="preserve">Code API xem danh sách (phân trang, tìm kiếm, sắp xếp)</t>
  </si>
  <si>
    <t xml:space="preserve">GET /api/customers</t>
  </si>
  <si>
    <t xml:space="preserve">Code API thêm mới (sinh CustomerCode, kiểm tra trùng Email)</t>
  </si>
  <si>
    <t xml:space="preserve">POST /api/customers</t>
  </si>
  <si>
    <t xml:space="preserve">Code API cập nhật (kiểm tra RowVersion — optimistic concurrency)</t>
  </si>
  <si>
    <t xml:space="preserve">PUT /api/customers/{id}</t>
  </si>
  <si>
    <t xml:space="preserve">Code API xóa mềm khách hàng</t>
  </si>
  <si>
    <t xml:space="preserve">DELETE /api/customers/{id}</t>
  </si>
  <si>
    <t xml:space="preserve">Tổng 5. API CRUD nghiệp vụ khách hàng</t>
  </si>
  <si>
    <t xml:space="preserve">6. UI nền tảng &amp; Authentication</t>
  </si>
  <si>
    <t xml:space="preserve">Cài đặt MudBlazor, MainLayout, NavMenu</t>
  </si>
  <si>
    <t xml:space="preserve">TokenProvider (lưu JWT in-memory) + CustomAuthStateProvider</t>
  </si>
  <si>
    <t xml:space="preserve">Không dùng localStorage</t>
  </si>
  <si>
    <t xml:space="preserve">AuthorizationMessageHandler (tự động gắn Bearer header)</t>
  </si>
  <si>
    <t xml:space="preserve">Trang Login.razor (form, gọi API, xử lý lỗi 401)</t>
  </si>
  <si>
    <t xml:space="preserve">Tổng 6. UI nền tảng &amp; Authentication</t>
  </si>
  <si>
    <t xml:space="preserve">7. UI Dashboard (danh sách khách hàng)</t>
  </si>
  <si>
    <t xml:space="preserve">Làm UI trang danh sách khách hàng (MudDataGrid + ServerData)</t>
  </si>
  <si>
    <t xml:space="preserve">Phân trang server-side</t>
  </si>
  <si>
    <t xml:space="preserve">Ô tìm kiếm theo Họ tên/SĐT (debounce ~400ms)</t>
  </si>
  <si>
    <t xml:space="preserve">Bộ lọc theo trạng thái hoạt động</t>
  </si>
  <si>
    <t xml:space="preserve">Snackbar thông báo kết quả thao tác</t>
  </si>
  <si>
    <t xml:space="preserve">Tổng 7. UI Dashboard (danh sách khách hàng)</t>
  </si>
  <si>
    <t xml:space="preserve">8. UI Form thêm/sửa/xóa</t>
  </si>
  <si>
    <t xml:space="preserve">CustomerFormDialog dùng chung cho Create/Edit (MudDialog)</t>
  </si>
  <si>
    <t xml:space="preserve">Validate dữ liệu phía client (FluentValidation UX)</t>
  </si>
  <si>
    <t xml:space="preserve">DeleteConfirmDialog</t>
  </si>
  <si>
    <t xml:space="preserve">Xử lý trạng thái loading/disable khi đang lưu</t>
  </si>
  <si>
    <t xml:space="preserve">Tổng 8. UI Form thêm/sửa/xóa</t>
  </si>
  <si>
    <t xml:space="preserve">9. Xử lý Concurrency &amp; Hoàn thiện</t>
  </si>
  <si>
    <t xml:space="preserve">Xử lý DbUpdateConcurrencyException, cảnh báo khi RowVersion lệch</t>
  </si>
  <si>
    <t xml:space="preserve">Viết Unit Test (CustomerService, AuthService, Validators)</t>
  </si>
  <si>
    <t xml:space="preserve">xUnit + FluentAssertions</t>
  </si>
  <si>
    <t xml:space="preserve">Polish UX, sửa lỗi phát sinh, review code lần cuối</t>
  </si>
  <si>
    <t xml:space="preserve">Tổng 9. Xử lý Concurrency &amp; Hoàn thiện</t>
  </si>
  <si>
    <t xml:space="preserve">TỔNG CỘNG TOÀN DỰ ÁN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</si>
</sst>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9.5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i val="true"/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B"/>
        <bgColor rgb="FFFFFFFF"/>
      </patternFill>
    </fill>
    <fill>
      <patternFill patternType="solid">
        <fgColor rgb="FFDCE6F1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5.35" hidden="false" customHeight="true" outlineLevel="0" collapsed="false">
      <c r="A6" s="5" t="n">
        <v>1</v>
      </c>
      <c r="B6" s="6" t="s">
        <v>8</v>
      </c>
      <c r="C6" s="6" t="s">
        <v>9</v>
      </c>
      <c r="D6" s="5" t="n">
        <v>1</v>
      </c>
      <c r="E6" s="7" t="s">
        <v>10</v>
      </c>
    </row>
    <row r="7" customFormat="false" ht="25.35" hidden="false" customHeight="false" outlineLevel="0" collapsed="false">
      <c r="A7" s="8" t="n">
        <v>2</v>
      </c>
      <c r="B7" s="6"/>
      <c r="C7" s="9" t="s">
        <v>11</v>
      </c>
      <c r="D7" s="8" t="n">
        <v>0.5</v>
      </c>
      <c r="E7" s="10"/>
    </row>
    <row r="8" customFormat="false" ht="25.35" hidden="false" customHeight="false" outlineLevel="0" collapsed="false">
      <c r="A8" s="5" t="n">
        <v>3</v>
      </c>
      <c r="B8" s="6"/>
      <c r="C8" s="6" t="s">
        <v>12</v>
      </c>
      <c r="D8" s="5" t="n">
        <v>1</v>
      </c>
      <c r="E8" s="7"/>
    </row>
    <row r="9" customFormat="false" ht="15" hidden="false" customHeight="false" outlineLevel="0" collapsed="false">
      <c r="A9" s="8" t="n">
        <v>4</v>
      </c>
      <c r="B9" s="6"/>
      <c r="C9" s="9" t="s">
        <v>13</v>
      </c>
      <c r="D9" s="8" t="n">
        <v>1</v>
      </c>
      <c r="E9" s="10"/>
    </row>
    <row r="10" customFormat="false" ht="15" hidden="false" customHeight="true" outlineLevel="0" collapsed="false">
      <c r="A10" s="11" t="s">
        <v>14</v>
      </c>
      <c r="B10" s="11"/>
      <c r="C10" s="11"/>
      <c r="D10" s="12" t="n">
        <f aca="false">SUM(D6:D9)</f>
        <v>3.5</v>
      </c>
      <c r="E10" s="13"/>
    </row>
    <row r="11" customFormat="false" ht="15" hidden="false" customHeight="true" outlineLevel="0" collapsed="false">
      <c r="A11" s="5" t="n">
        <v>5</v>
      </c>
      <c r="B11" s="6" t="s">
        <v>15</v>
      </c>
      <c r="C11" s="6" t="s">
        <v>16</v>
      </c>
      <c r="D11" s="5" t="n">
        <v>0.5</v>
      </c>
      <c r="E11" s="7" t="s">
        <v>17</v>
      </c>
    </row>
    <row r="12" customFormat="false" ht="15" hidden="false" customHeight="false" outlineLevel="0" collapsed="false">
      <c r="A12" s="8" t="n">
        <v>6</v>
      </c>
      <c r="B12" s="6"/>
      <c r="C12" s="9" t="s">
        <v>18</v>
      </c>
      <c r="D12" s="8" t="n">
        <v>1</v>
      </c>
      <c r="E12" s="10" t="s">
        <v>19</v>
      </c>
    </row>
    <row r="13" customFormat="false" ht="15" hidden="false" customHeight="false" outlineLevel="0" collapsed="false">
      <c r="A13" s="5" t="n">
        <v>7</v>
      </c>
      <c r="B13" s="6"/>
      <c r="C13" s="6" t="s">
        <v>20</v>
      </c>
      <c r="D13" s="5" t="n">
        <v>1</v>
      </c>
      <c r="E13" s="7"/>
    </row>
    <row r="14" customFormat="false" ht="15" hidden="false" customHeight="false" outlineLevel="0" collapsed="false">
      <c r="A14" s="8" t="n">
        <v>8</v>
      </c>
      <c r="B14" s="6"/>
      <c r="C14" s="9" t="s">
        <v>21</v>
      </c>
      <c r="D14" s="8" t="n">
        <v>1</v>
      </c>
      <c r="E14" s="10" t="s">
        <v>22</v>
      </c>
    </row>
    <row r="15" customFormat="false" ht="15" hidden="false" customHeight="false" outlineLevel="0" collapsed="false">
      <c r="A15" s="5" t="n">
        <v>9</v>
      </c>
      <c r="B15" s="6"/>
      <c r="C15" s="6" t="s">
        <v>23</v>
      </c>
      <c r="D15" s="5" t="n">
        <v>1</v>
      </c>
      <c r="E15" s="7" t="s">
        <v>24</v>
      </c>
    </row>
    <row r="16" customFormat="false" ht="15" hidden="false" customHeight="true" outlineLevel="0" collapsed="false">
      <c r="A16" s="11" t="s">
        <v>25</v>
      </c>
      <c r="B16" s="11"/>
      <c r="C16" s="11"/>
      <c r="D16" s="12" t="n">
        <f aca="false">SUM(D11:D15)</f>
        <v>4.5</v>
      </c>
      <c r="E16" s="13"/>
    </row>
    <row r="17" customFormat="false" ht="25.35" hidden="false" customHeight="true" outlineLevel="0" collapsed="false">
      <c r="A17" s="8" t="n">
        <v>10</v>
      </c>
      <c r="B17" s="9" t="s">
        <v>26</v>
      </c>
      <c r="C17" s="9" t="s">
        <v>27</v>
      </c>
      <c r="D17" s="8" t="n">
        <v>1.5</v>
      </c>
      <c r="E17" s="10"/>
    </row>
    <row r="18" customFormat="false" ht="15" hidden="false" customHeight="false" outlineLevel="0" collapsed="false">
      <c r="A18" s="5" t="n">
        <v>11</v>
      </c>
      <c r="B18" s="9"/>
      <c r="C18" s="6" t="s">
        <v>28</v>
      </c>
      <c r="D18" s="5" t="n">
        <v>1</v>
      </c>
      <c r="E18" s="7" t="s">
        <v>29</v>
      </c>
    </row>
    <row r="19" customFormat="false" ht="25.35" hidden="false" customHeight="false" outlineLevel="0" collapsed="false">
      <c r="A19" s="8" t="n">
        <v>12</v>
      </c>
      <c r="B19" s="9"/>
      <c r="C19" s="9" t="s">
        <v>30</v>
      </c>
      <c r="D19" s="8" t="n">
        <v>2</v>
      </c>
      <c r="E19" s="10"/>
    </row>
    <row r="20" customFormat="false" ht="15" hidden="false" customHeight="false" outlineLevel="0" collapsed="false">
      <c r="A20" s="5" t="n">
        <v>13</v>
      </c>
      <c r="B20" s="9"/>
      <c r="C20" s="6" t="s">
        <v>31</v>
      </c>
      <c r="D20" s="5" t="n">
        <v>1.5</v>
      </c>
      <c r="E20" s="7"/>
    </row>
    <row r="21" customFormat="false" ht="15" hidden="false" customHeight="true" outlineLevel="0" collapsed="false">
      <c r="A21" s="11" t="s">
        <v>32</v>
      </c>
      <c r="B21" s="11"/>
      <c r="C21" s="11"/>
      <c r="D21" s="12" t="n">
        <f aca="false">SUM(D17:D20)</f>
        <v>6</v>
      </c>
      <c r="E21" s="13"/>
    </row>
    <row r="22" customFormat="false" ht="15" hidden="false" customHeight="true" outlineLevel="0" collapsed="false">
      <c r="A22" s="8" t="n">
        <v>14</v>
      </c>
      <c r="B22" s="9" t="s">
        <v>33</v>
      </c>
      <c r="C22" s="9" t="s">
        <v>34</v>
      </c>
      <c r="D22" s="8" t="n">
        <v>0.5</v>
      </c>
      <c r="E22" s="10"/>
    </row>
    <row r="23" customFormat="false" ht="15" hidden="false" customHeight="false" outlineLevel="0" collapsed="false">
      <c r="A23" s="5" t="n">
        <v>15</v>
      </c>
      <c r="B23" s="9"/>
      <c r="C23" s="6" t="s">
        <v>35</v>
      </c>
      <c r="D23" s="5" t="n">
        <v>1</v>
      </c>
      <c r="E23" s="7"/>
    </row>
    <row r="24" customFormat="false" ht="15" hidden="false" customHeight="false" outlineLevel="0" collapsed="false">
      <c r="A24" s="8" t="n">
        <v>16</v>
      </c>
      <c r="B24" s="9"/>
      <c r="C24" s="9" t="s">
        <v>36</v>
      </c>
      <c r="D24" s="8" t="n">
        <v>1</v>
      </c>
      <c r="E24" s="10"/>
    </row>
    <row r="25" customFormat="false" ht="15" hidden="false" customHeight="false" outlineLevel="0" collapsed="false">
      <c r="A25" s="5" t="n">
        <v>17</v>
      </c>
      <c r="B25" s="9"/>
      <c r="C25" s="6" t="s">
        <v>37</v>
      </c>
      <c r="D25" s="5" t="n">
        <v>1.5</v>
      </c>
      <c r="E25" s="7"/>
    </row>
    <row r="26" customFormat="false" ht="15" hidden="false" customHeight="true" outlineLevel="0" collapsed="false">
      <c r="A26" s="11" t="s">
        <v>38</v>
      </c>
      <c r="B26" s="11"/>
      <c r="C26" s="11"/>
      <c r="D26" s="12" t="n">
        <f aca="false">SUM(D22:D25)</f>
        <v>4</v>
      </c>
      <c r="E26" s="13"/>
    </row>
    <row r="27" customFormat="false" ht="15" hidden="false" customHeight="true" outlineLevel="0" collapsed="false">
      <c r="A27" s="8" t="n">
        <v>18</v>
      </c>
      <c r="B27" s="9" t="s">
        <v>39</v>
      </c>
      <c r="C27" s="9" t="s">
        <v>40</v>
      </c>
      <c r="D27" s="8" t="n">
        <v>1</v>
      </c>
      <c r="E27" s="10" t="s">
        <v>41</v>
      </c>
    </row>
    <row r="28" customFormat="false" ht="15" hidden="false" customHeight="false" outlineLevel="0" collapsed="false">
      <c r="A28" s="5" t="n">
        <v>19</v>
      </c>
      <c r="B28" s="9"/>
      <c r="C28" s="6" t="s">
        <v>42</v>
      </c>
      <c r="D28" s="5" t="n">
        <v>1</v>
      </c>
      <c r="E28" s="7"/>
    </row>
    <row r="29" customFormat="false" ht="15" hidden="false" customHeight="false" outlineLevel="0" collapsed="false">
      <c r="A29" s="8" t="n">
        <v>20</v>
      </c>
      <c r="B29" s="9"/>
      <c r="C29" s="9" t="s">
        <v>43</v>
      </c>
      <c r="D29" s="8" t="n">
        <v>1.5</v>
      </c>
      <c r="E29" s="10" t="s">
        <v>44</v>
      </c>
    </row>
    <row r="30" customFormat="false" ht="15" hidden="false" customHeight="false" outlineLevel="0" collapsed="false">
      <c r="A30" s="5" t="n">
        <v>21</v>
      </c>
      <c r="B30" s="9"/>
      <c r="C30" s="6" t="s">
        <v>45</v>
      </c>
      <c r="D30" s="5" t="n">
        <v>1.5</v>
      </c>
      <c r="E30" s="7" t="s">
        <v>46</v>
      </c>
    </row>
    <row r="31" customFormat="false" ht="15" hidden="false" customHeight="false" outlineLevel="0" collapsed="false">
      <c r="A31" s="8" t="n">
        <v>22</v>
      </c>
      <c r="B31" s="9"/>
      <c r="C31" s="9" t="s">
        <v>47</v>
      </c>
      <c r="D31" s="8" t="n">
        <v>1.5</v>
      </c>
      <c r="E31" s="10" t="s">
        <v>48</v>
      </c>
    </row>
    <row r="32" customFormat="false" ht="15" hidden="false" customHeight="false" outlineLevel="0" collapsed="false">
      <c r="A32" s="5" t="n">
        <v>23</v>
      </c>
      <c r="B32" s="9"/>
      <c r="C32" s="6" t="s">
        <v>49</v>
      </c>
      <c r="D32" s="5" t="n">
        <v>1</v>
      </c>
      <c r="E32" s="7" t="s">
        <v>50</v>
      </c>
    </row>
    <row r="33" customFormat="false" ht="15" hidden="false" customHeight="true" outlineLevel="0" collapsed="false">
      <c r="A33" s="11" t="s">
        <v>51</v>
      </c>
      <c r="B33" s="11"/>
      <c r="C33" s="11"/>
      <c r="D33" s="12" t="n">
        <f aca="false">SUM(D27:D32)</f>
        <v>7.5</v>
      </c>
      <c r="E33" s="13"/>
    </row>
    <row r="34" customFormat="false" ht="15" hidden="false" customHeight="true" outlineLevel="0" collapsed="false">
      <c r="A34" s="8" t="n">
        <v>24</v>
      </c>
      <c r="B34" s="9" t="s">
        <v>52</v>
      </c>
      <c r="C34" s="9" t="s">
        <v>53</v>
      </c>
      <c r="D34" s="8" t="n">
        <v>1</v>
      </c>
      <c r="E34" s="10"/>
    </row>
    <row r="35" customFormat="false" ht="15" hidden="false" customHeight="false" outlineLevel="0" collapsed="false">
      <c r="A35" s="5" t="n">
        <v>25</v>
      </c>
      <c r="B35" s="9"/>
      <c r="C35" s="6" t="s">
        <v>54</v>
      </c>
      <c r="D35" s="5" t="n">
        <v>1.5</v>
      </c>
      <c r="E35" s="7" t="s">
        <v>55</v>
      </c>
    </row>
    <row r="36" customFormat="false" ht="15" hidden="false" customHeight="false" outlineLevel="0" collapsed="false">
      <c r="A36" s="8" t="n">
        <v>26</v>
      </c>
      <c r="B36" s="9"/>
      <c r="C36" s="9" t="s">
        <v>56</v>
      </c>
      <c r="D36" s="8" t="n">
        <v>1</v>
      </c>
      <c r="E36" s="10"/>
    </row>
    <row r="37" customFormat="false" ht="15" hidden="false" customHeight="false" outlineLevel="0" collapsed="false">
      <c r="A37" s="5" t="n">
        <v>27</v>
      </c>
      <c r="B37" s="9"/>
      <c r="C37" s="6" t="s">
        <v>57</v>
      </c>
      <c r="D37" s="5" t="n">
        <v>1.5</v>
      </c>
      <c r="E37" s="7"/>
    </row>
    <row r="38" customFormat="false" ht="15" hidden="false" customHeight="true" outlineLevel="0" collapsed="false">
      <c r="A38" s="11" t="s">
        <v>58</v>
      </c>
      <c r="B38" s="11"/>
      <c r="C38" s="11"/>
      <c r="D38" s="12" t="n">
        <f aca="false">SUM(D34:D37)</f>
        <v>5</v>
      </c>
      <c r="E38" s="13"/>
    </row>
    <row r="39" customFormat="false" ht="15" hidden="false" customHeight="true" outlineLevel="0" collapsed="false">
      <c r="A39" s="8" t="n">
        <v>28</v>
      </c>
      <c r="B39" s="9" t="s">
        <v>59</v>
      </c>
      <c r="C39" s="9" t="s">
        <v>60</v>
      </c>
      <c r="D39" s="8" t="n">
        <v>2.5</v>
      </c>
      <c r="E39" s="10" t="s">
        <v>61</v>
      </c>
    </row>
    <row r="40" customFormat="false" ht="15" hidden="false" customHeight="false" outlineLevel="0" collapsed="false">
      <c r="A40" s="5" t="n">
        <v>29</v>
      </c>
      <c r="B40" s="9"/>
      <c r="C40" s="6" t="s">
        <v>62</v>
      </c>
      <c r="D40" s="5" t="n">
        <v>1.5</v>
      </c>
      <c r="E40" s="7"/>
    </row>
    <row r="41" customFormat="false" ht="15" hidden="false" customHeight="false" outlineLevel="0" collapsed="false">
      <c r="A41" s="8" t="n">
        <v>30</v>
      </c>
      <c r="B41" s="9"/>
      <c r="C41" s="9" t="s">
        <v>63</v>
      </c>
      <c r="D41" s="8" t="n">
        <v>1</v>
      </c>
      <c r="E41" s="10"/>
    </row>
    <row r="42" customFormat="false" ht="15" hidden="false" customHeight="false" outlineLevel="0" collapsed="false">
      <c r="A42" s="5" t="n">
        <v>31</v>
      </c>
      <c r="B42" s="9"/>
      <c r="C42" s="6" t="s">
        <v>64</v>
      </c>
      <c r="D42" s="5" t="n">
        <v>1</v>
      </c>
      <c r="E42" s="7"/>
    </row>
    <row r="43" customFormat="false" ht="15" hidden="false" customHeight="true" outlineLevel="0" collapsed="false">
      <c r="A43" s="11" t="s">
        <v>65</v>
      </c>
      <c r="B43" s="11"/>
      <c r="C43" s="11"/>
      <c r="D43" s="12" t="n">
        <f aca="false">SUM(D39:D42)</f>
        <v>6</v>
      </c>
      <c r="E43" s="13"/>
    </row>
    <row r="44" customFormat="false" ht="15" hidden="false" customHeight="true" outlineLevel="0" collapsed="false">
      <c r="A44" s="8" t="n">
        <v>32</v>
      </c>
      <c r="B44" s="9" t="s">
        <v>66</v>
      </c>
      <c r="C44" s="9" t="s">
        <v>67</v>
      </c>
      <c r="D44" s="8" t="n">
        <v>2</v>
      </c>
      <c r="E44" s="10"/>
    </row>
    <row r="45" customFormat="false" ht="15" hidden="false" customHeight="false" outlineLevel="0" collapsed="false">
      <c r="A45" s="5" t="n">
        <v>33</v>
      </c>
      <c r="B45" s="9"/>
      <c r="C45" s="6" t="s">
        <v>68</v>
      </c>
      <c r="D45" s="5" t="n">
        <v>1.5</v>
      </c>
      <c r="E45" s="7"/>
    </row>
    <row r="46" customFormat="false" ht="15" hidden="false" customHeight="false" outlineLevel="0" collapsed="false">
      <c r="A46" s="8" t="n">
        <v>34</v>
      </c>
      <c r="B46" s="9"/>
      <c r="C46" s="9" t="s">
        <v>69</v>
      </c>
      <c r="D46" s="8" t="n">
        <v>1</v>
      </c>
      <c r="E46" s="10"/>
    </row>
    <row r="47" customFormat="false" ht="15" hidden="false" customHeight="false" outlineLevel="0" collapsed="false">
      <c r="A47" s="5" t="n">
        <v>35</v>
      </c>
      <c r="B47" s="9"/>
      <c r="C47" s="6" t="s">
        <v>70</v>
      </c>
      <c r="D47" s="5" t="n">
        <v>1</v>
      </c>
      <c r="E47" s="7"/>
    </row>
    <row r="48" customFormat="false" ht="15" hidden="false" customHeight="true" outlineLevel="0" collapsed="false">
      <c r="A48" s="11" t="s">
        <v>71</v>
      </c>
      <c r="B48" s="11"/>
      <c r="C48" s="11"/>
      <c r="D48" s="12" t="n">
        <f aca="false">SUM(D44:D47)</f>
        <v>5.5</v>
      </c>
      <c r="E48" s="13"/>
    </row>
    <row r="49" customFormat="false" ht="15" hidden="false" customHeight="true" outlineLevel="0" collapsed="false">
      <c r="A49" s="8" t="n">
        <v>36</v>
      </c>
      <c r="B49" s="9" t="s">
        <v>72</v>
      </c>
      <c r="C49" s="9" t="s">
        <v>73</v>
      </c>
      <c r="D49" s="8" t="n">
        <v>1.5</v>
      </c>
      <c r="E49" s="10"/>
    </row>
    <row r="50" customFormat="false" ht="15" hidden="false" customHeight="false" outlineLevel="0" collapsed="false">
      <c r="A50" s="5" t="n">
        <v>37</v>
      </c>
      <c r="B50" s="9"/>
      <c r="C50" s="6" t="s">
        <v>74</v>
      </c>
      <c r="D50" s="5" t="n">
        <v>1.5</v>
      </c>
      <c r="E50" s="7" t="s">
        <v>75</v>
      </c>
    </row>
    <row r="51" customFormat="false" ht="15" hidden="false" customHeight="false" outlineLevel="0" collapsed="false">
      <c r="A51" s="8" t="n">
        <v>38</v>
      </c>
      <c r="B51" s="9"/>
      <c r="C51" s="9" t="s">
        <v>76</v>
      </c>
      <c r="D51" s="8" t="n">
        <v>1</v>
      </c>
      <c r="E51" s="10"/>
    </row>
    <row r="52" customFormat="false" ht="15" hidden="false" customHeight="true" outlineLevel="0" collapsed="false">
      <c r="A52" s="11" t="s">
        <v>77</v>
      </c>
      <c r="B52" s="11"/>
      <c r="C52" s="11"/>
      <c r="D52" s="12" t="n">
        <f aca="false">SUM(D49:D51)</f>
        <v>4</v>
      </c>
      <c r="E52" s="13"/>
    </row>
    <row r="54" customFormat="false" ht="15" hidden="false" customHeight="true" outlineLevel="0" collapsed="false">
      <c r="A54" s="14" t="s">
        <v>78</v>
      </c>
      <c r="B54" s="14"/>
      <c r="C54" s="14"/>
      <c r="D54" s="15" t="n">
        <f aca="false">D10+D16+D21+D26+D33+D38+D43+D48+D52</f>
        <v>46</v>
      </c>
      <c r="E54" s="16"/>
    </row>
    <row r="55" customFormat="false" ht="15" hidden="false" customHeight="false" outlineLevel="0" collapsed="false">
      <c r="A55" s="17" t="str">
        <f aca="false">"Tương đương " &amp; TEXT(D54/8,"0.0") &amp; " ngày làm việc (8 giờ/ngày)"</f>
        <v>Tương đương 5.8 ngày làm việc (8 giờ/ngày)</v>
      </c>
      <c r="B55" s="17"/>
      <c r="C55" s="17"/>
      <c r="D55" s="17"/>
      <c r="E55" s="17"/>
    </row>
  </sheetData>
  <mergeCells count="23">
    <mergeCell ref="A1:E1"/>
    <mergeCell ref="A2:E2"/>
    <mergeCell ref="A3:E3"/>
    <mergeCell ref="B6:B9"/>
    <mergeCell ref="A10:C10"/>
    <mergeCell ref="B11:B15"/>
    <mergeCell ref="A16:C16"/>
    <mergeCell ref="B17:B20"/>
    <mergeCell ref="A21:C21"/>
    <mergeCell ref="B22:B25"/>
    <mergeCell ref="A26:C26"/>
    <mergeCell ref="B27:B32"/>
    <mergeCell ref="A33:C33"/>
    <mergeCell ref="B34:B37"/>
    <mergeCell ref="A38:C38"/>
    <mergeCell ref="B39:B42"/>
    <mergeCell ref="A43:C43"/>
    <mergeCell ref="B44:B47"/>
    <mergeCell ref="A48:C48"/>
    <mergeCell ref="B49:B51"/>
    <mergeCell ref="A52:C52"/>
    <mergeCell ref="A54:C54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2026-09-15T13:37:30Z</dcterms:created>
  <dc:creator>openpyxl</dc:creator>
  <dc:description/>
  <dc:language>en-US</dc:language>
  <cp:lastModifiedBy/>
  <dcterms:modified xsi:type="dcterms:W3CDTF">2026-09-15T13:37:30Z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